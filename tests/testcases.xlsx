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7"/>
  <workbookPr defaultThemeVersion="202300"/>
  <mc:AlternateContent xmlns:mc="http://schemas.openxmlformats.org/markup-compatibility/2006">
    <mc:Choice Requires="x15">
      <x15ac:absPath xmlns:x15ac="http://schemas.microsoft.com/office/spreadsheetml/2010/11/ac" url="/Users/camilla.callierotti/rnaseq-assistant-agent/tests/"/>
    </mc:Choice>
  </mc:AlternateContent>
  <xr:revisionPtr revIDLastSave="0" documentId="13_ncr:1_{95D45A0A-D558-394B-A4DC-16E1FADFAC91}" xr6:coauthVersionLast="47" xr6:coauthVersionMax="47" xr10:uidLastSave="{00000000-0000-0000-0000-000000000000}"/>
  <bookViews>
    <workbookView xWindow="-6140" yWindow="-21100" windowWidth="38400" windowHeight="21100" xr2:uid="{FB8B351A-6A57-0F4D-931F-DC50DD3E219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 i="1" l="1"/>
  <c r="A5" i="1"/>
  <c r="A6" i="1"/>
  <c r="A7" i="1"/>
  <c r="A8" i="1"/>
  <c r="A9" i="1" s="1"/>
  <c r="A4" i="1"/>
  <c r="A3" i="1"/>
  <c r="A10" i="1" l="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alcChain>
</file>

<file path=xl/sharedStrings.xml><?xml version="1.0" encoding="utf-8"?>
<sst xmlns="http://schemas.openxmlformats.org/spreadsheetml/2006/main" count="212" uniqueCount="123">
  <si>
    <t>query</t>
  </si>
  <si>
    <t>actual answer</t>
  </si>
  <si>
    <t>notes</t>
  </si>
  <si>
    <t>How many samples do I have in total?</t>
  </si>
  <si>
    <t>How many replicates are there for each condition?</t>
  </si>
  <si>
    <t>What is the average library size across all samples?</t>
  </si>
  <si>
    <t>topic</t>
  </si>
  <si>
    <t>metadata</t>
  </si>
  <si>
    <t>Which sample has the highest number of reads?</t>
  </si>
  <si>
    <t>Show me the distribution of samples across experimental conditions</t>
  </si>
  <si>
    <t>What metadata fields are available for my samples?</t>
  </si>
  <si>
    <t>qc</t>
  </si>
  <si>
    <t>Are there any outlier samples I should be concerned about?</t>
  </si>
  <si>
    <t>Show me the correlation between biological replicates</t>
  </si>
  <si>
    <t>Which samples have the lowest correlation with their group?</t>
  </si>
  <si>
    <t>What percentage of variance is explained by PC1 and PC2?</t>
  </si>
  <si>
    <t>Are there any batch effects visible in the MDS plot?</t>
  </si>
  <si>
    <t>Which comparison has the most differentially expressed genes?</t>
  </si>
  <si>
    <t>What is the gene with the highest fold change across all comparisons?</t>
  </si>
  <si>
    <t>Are there any genes significantly differentially expressed in all comparisons?</t>
  </si>
  <si>
    <t>How many DEGs have an absolute log2 fold change greater than 2?</t>
  </si>
  <si>
    <t>What percentage of detected genes are differentially expressed?</t>
  </si>
  <si>
    <t>differential expression</t>
  </si>
  <si>
    <t>Are any immune-related pathways significantly enriched?</t>
  </si>
  <si>
    <t>What is the most significantly enriched KEGG pathway?</t>
  </si>
  <si>
    <t>Are there any overlapping pathways enriched across multiple comparisons?</t>
  </si>
  <si>
    <t>Show me pathways related to cell cycle regulation</t>
  </si>
  <si>
    <t>pathway enrichment</t>
  </si>
  <si>
    <t>visualizations</t>
  </si>
  <si>
    <t>Plot a PCA colored by experimental condition</t>
  </si>
  <si>
    <t>Generate a heatmap of the top 50 differentially expressed genes</t>
  </si>
  <si>
    <t>SELECT COUNT(DISTINCT Sample) FROM study_metadata;</t>
  </si>
  <si>
    <t>YES</t>
  </si>
  <si>
    <t>You have a total of 27 samples in your dataset.</t>
  </si>
  <si>
    <t>Based on the study metadata, here is the number of replicates for each condition:\n\n*   **E-GSC**: 6 replicates\n*   **L-GSC**: 6 replicates\n*   **NS**: 6 replicates\n*   **NS-GSC**: 3 replicates\n*   **differentiated**: 6 replicates\n\nIs there anything else you would like to know about your samples or conditions?</t>
  </si>
  <si>
    <t>SELECT Type, COUNT(Sample) AS Number_of_Replicates FROM study_metadata GROUP BY Type;</t>
  </si>
  <si>
    <t>The average library size across all samples is approximately 101,759,277 reads.</t>
  </si>
  <si>
    <t>SELECT AVG(\"lib.size\") FROM library_size;</t>
  </si>
  <si>
    <t>SELECT samples, `lib.size` FROM library_size ORDER BY `lib.size` DESC LIMIT 1</t>
  </si>
  <si>
    <t>The sample with the highest number of reads is 's1', with a total of 145,074,863 reads.</t>
  </si>
  <si>
    <t>SELECT Type, COUNT(Sample) AS NumberOfSamples FROM study_metadata GROUP BY Type;</t>
  </si>
  <si>
    <t>Here is the distribution of samples across your experimental conditions:\n\n*   **E-GSC**: 6 samples\n*   **L-GSC**: 6 samples\n*   **NS**: 6 samples\n*   **NS-GSC**: 3 samples\n*   **differentiated**: 6 samples\n\nWould you like to explore any specific condition further, or perhaps visualize this distribution?</t>
  </si>
  <si>
    <t>Based on the available study information, the metadata fields for your samples include 'Type', 'Patient', 'Flattening', and 'Batch'.\n\nWould you like to see the unique values for any of these fields?</t>
  </si>
  <si>
    <t>KO</t>
  </si>
  <si>
    <t>SELECT PC, var FROM PCA_explained_variance WHERE PC IN ('PC1', 'PC2');</t>
  </si>
  <si>
    <t>Principal Component 1 (PC1) explains 30.1% of the variance, and Principal Component 2 (PC2) explains 16.7% of the variance in the dataset. Is there anything else you would like to know about the PCA results?</t>
  </si>
  <si>
    <t>Do my samples cluster by patient in the PCA?</t>
  </si>
  <si>
    <t>Yes, based on the principal component analysis, the samples generally cluster together by patient. This indicates that patient-specific differences are a major source of variation in the gene expression data, causing samples from the same patient to group closely in the PCA plot. Would you like to explore other factors that might influence sample clustering, such as 'Type' or 'Batch'?</t>
  </si>
  <si>
    <t>SELECT samples, PC1, PC2, Patient FROM pca_scores; pca|x_column=PC1|y_column=PC2|color_column=Patient|title=PCA Plot by Patient</t>
  </si>
  <si>
    <t>SELECT samples, x, y, Batch FROM mds_scores;scatter|x_column=x|y_column=y|color_column=Batch|title=MDS Plot colored by Batch</t>
  </si>
  <si>
    <t>Yes, based on the Multi-Dimensional Scaling (MDS) plot that was generated, there appear to be batch effects visible. The samples tend to cluster by their respective batches, indicating that differences between batches contribute significantly to the overall variation in the data. This means that samples from the same batch are more similar to each other than to samples from different batches.\n\nWould you like to explore how other metadata, like 'Type' or 'Flattening', might influence the sample clustering in the MDS plot?</t>
  </si>
  <si>
    <t>How many differentially expressed genes are there in E-GSC vs L-GSC?</t>
  </si>
  <si>
    <t>SELECT sample_subset, comparison1, comparison2, COUNT(gene_name) AS num_deg FROM deseq2_results WHERE padj &lt; 0.05 GROUP BY sample_subset, comparison1, comparison2 ORDER BY num_deg DESC LIMIT 1;</t>
  </si>
  <si>
    <t>The comparison with the most differentially expressed genes is 'NS vs differentiated' within the 'all_samples' subset, with a total of 4263 genes showing significant differences in expression (adjusted p-value &lt; 0.05).\n\nWould you like to explore the specific genes in this comparison or visualize these results?</t>
  </si>
  <si>
    <t>Show me the top 10 most upregulated genes by fold change in all samples</t>
  </si>
  <si>
    <t>SELECT gene_name, log2FoldChange FROM deseq2_results WHERE sample_subset = 'all_samples' AND comparison1 = 'NS' AND comparison2 = 'differentiated' ORDER BY log2FoldChange DESC LIMIT 10;</t>
  </si>
  <si>
    <t>The top 10 most upregulated genes by log2FoldChange in the 'NS vs differentiated' comparison within the 'all_samples' subset are:\n\n1. COL20A1: 8.59\n2. CHI3L1: 6.73\n3. MYBPH: 6.32\n4. SLC6A1: 5.24\n5. SLC6A11: 5.22\n6. WDR64: 5.12\n7. CBLN4: 5.12\n8. GJB1: 4.99\n9. UNC5D: 4.94\n10. ENSG00000284650: 4.84\n\nThese genes show the highest positive fold change, indicating they are significantly more expressed in the 'NS' group compared to the 'differentiated' group.\n\nWould you like to see the most downregulated genes or perhaps visualize these results?</t>
  </si>
  <si>
    <t>How many genes are downregulated in all samples with padj &lt; 0.05?</t>
  </si>
  <si>
    <t>SELECT gene_name, log2FoldChange, sample_subset, comparison1, comparison2 FROM deseq2_results ORDER BY ABS(log2FoldChange) DESC LIMIT 1;</t>
  </si>
  <si>
    <t>The gene with the highest absolute fold change across all comparisons is CDKN2B, with a log2FoldChange of -27.55. This was observed in the 'Late' sample subset, comparing 'Yes' to 'No'.\n\nWould you like to explore other genes or comparisons?</t>
  </si>
  <si>
    <t>SELECT gene_name FROM deseq2_results WHERE padj &lt; 0.05 GROUP BY gene_name HAVING COUNT(DISTINCT sample_subset || '_' || comparison_variable || '_' || comparison1 || '_' || comparison2) = (SELECT COUNT(DISTINCT sample_subset || '_' || comparison_variable || '_' || comparison1 || '_' || comparison2) FROM deseq2_results);</t>
  </si>
  <si>
    <t>There are no genes found to be significantly differentially expressed (with an adjusted p-value less than 0.05) across all available comparisons in the dataset.</t>
  </si>
  <si>
    <t>SELECT COUNT(DISTINCT gene_name) FROM deseq2_results WHERE padj &lt; 0.05 AND ABS(log2FoldChange) &gt; 2;</t>
  </si>
  <si>
    <t>There are 2682 differentially expressed genes that have an absolute log2 fold change greater than 2 and an adjusted p-value less than 0.05 across all comparisons.</t>
  </si>
  <si>
    <t>Show me genes that are upregulated in flattening yes vs no but downregulated in L-GSC vs E-GSC</t>
  </si>
  <si>
    <t>SELECT COUNT(DISTINCT gene_name) FROM deseq2_results WHERE padj &lt; 0.05;</t>
  </si>
  <si>
    <t>Approximately 11.21% of the detected genes are differentially expressed across all comparisons (7029 differentially expressed genes out of 62700 total detected genes).</t>
  </si>
  <si>
    <t>What pathways are enriched in upregulated genes for flattening yes vs no?</t>
  </si>
  <si>
    <t>Based on the enrichment analysis for upregulated genes in the 'Flattening: Yes vs No' comparison, using the GO Biological Process 2023 gene set, here are the top 10 most significantly enriched pathways (adjusted p-value &lt; 0.05):\n\n**In the 'Differentiated' sample subset:**\n*   **Axonogenesis** (Adjusted P-value: 0.000668) with genes like CYFIP2, ROBO2, NLGN3, SEMA5B.\n*   **Positive Regulation Of Cell Differentiation** (Adjusted P-value: 0.000668) including genes such as CRB2, RIPOR2, CEBPB, CSF2.\n*   **Regulation Of Neuron Projection Development** (Adjusted P-value: 0.000814) with genes like NTNG1, NTRK2, NDRG4, DCC.\n*   **Axon Guidance** (Adjusted P-value: 0.000814) including CYFIP2, ROBO2, SEMA5B, PLEKHG4.\n*   **Synapse Assembly** (Adjusted P-value: 0.000814) with genes like GABRB3, NLGN3, GABRB2, GPM6A.\n*   **Nervous System Development** (Adjusted P-value: 0.001561) including NLGN3, ROBO2, CNTFR, GPM6A.\n*   **Generation Of Neurons** (Adjusted P-value: 0.001561) with genes like GPM6A, NTRK2, RTN1, FZD2.\n*   **Neuron Differentiation** (Adjusted P-value: 0.001561) including ALK, TENM1, NTRK2, RTN1.\n*   **Neuron Projection Guidance** (Adjusted P-value: 0.001593) with genes like CYFIP2, ROBO2, SEMA5B, PLEKHG4.\n\n**In the 'Late' sample subset:**\n*   **Nervous System Development** (Adjusted P-value: 0.000701) with genes like TENM1, NRSN1, PCSK9, GRIK1.\n\nThese results indicate a strong enrichment of pathways related to nervous system development, axon guidance, and neuron differentiation in genes that are upregulated when 'Flattening' is 'Yes' compared to 'No'.\n\nWould you like to explore these pathways further, perhaps by looking at a different gene set or analysis type, or visualize these results?</t>
  </si>
  <si>
    <t>SELECT sample_subset, Term, Adjusted_P_value, Odds_Ratio, Combined_Score, Genes FROM enrichment_results WHERE comparison_variable = 'Flattening' AND comparison1 = 'Yes' AND comparison2 = 'No' AND analysis_type = 'enrichr' AND gene_set = 'GO_Biological_Process_2023' AND Adjusted_P_value &lt; 0.05 ORDER BY Adjusted_P_value ASC LIMIT 10;</t>
  </si>
  <si>
    <t>SELECT DISTINCT Term, Adjusted_P_value, Genes FROM enrichment_results WHERE sample_subset = 'all_samples' AND (Term LIKE '%immune%' OR Description LIKE '%immune%' OR Term LIKE '%defense%' OR Description LIKE '%defense%' OR Term LIKE '%inflammatory%' OR Description LIKE '%inflammatory%') AND Adjusted_P_value &lt; 0.05 ORDER BY Adjusted_P_value LIMIT 10;</t>
  </si>
  <si>
    <t>Yes, there is one immune-related pathway significantly enriched in all samples. The \"Inflammatory Response\" pathway was found to be significantly enriched with an adjusted p-value of 0.006. This pathway includes genes such as IFITM1, BTG2, CXCL8, PTGER2, SERPINE1, and IL6, among others.\n\nWould you like to explore the genes involved in this pathway or look for other types of enriched pathways?</t>
  </si>
  <si>
    <t>SELECT Description, NES, qvalue FROM enrichment_results WHERE analysis_type = 'gsea' AND gene_set = 'c5.all.v2024.1.Hs.symbols' AND sample_subset = 'all_samples' AND comparison_variable = 'Type' AND ((comparison1 = 'NS' AND comparison2 = 'differentiated') OR (comparison1 = 'differentiated' AND comparison2 = 'NS')) AND NES &lt; 0 AND qvalue &lt; 0.05 ORDER BY NES ASC LIMIT 10;</t>
  </si>
  <si>
    <t>Based on the GSEA enrichment analysis using the 'c5.all.v2024.1.Hs.symbols' gene set for the 'NS vs differentiated' comparison in all samples, here are the top 10 most significantly downregulated GO biological processes:\n\n1.  **HP_JUVENILE_ASEPTIC_NECROSIS** (NES: -2.41, q-value: 8.46e-06)\n2.  **HP_AVASCULAR_NECROSIS_OF_THE_CAPITAL_FEMORAL_EPIPHYSIS** (NES: -2.36, q-value: 2.18e-05)\n3.  **GOBP_REGULATION_OF_WOUND_HEALING** (NES: -2.32, q-value: 7.21e-07)\n4.  **GOBP_REGULATION_OF_COAGULATION** (NES: -2.27, q-value: 3.59e-05)\n5.  **GOMF_CYTOKINE_RECEPTOR_BINDING** (NES: -2.26, q-value: 1.17e-07)\n6.  **HP_ATROPHIC_SCARS** (NES: -2.26, q-value: 0.00028)\n7.  **HP_KERATOSIS_PILARIS** (NES: -2.24, q-value: 0.00029)\n8.  **GOBP_HEMOSTASIS** (NES: -2.24, q-value: 1.49e-07)\n9.  **GOBP_REGULATION_OF_CD4_POSITIVE_ALPHA_BETA_T_CELL_ACTIVATION** (NES: -2.23, q-value: 6.45e-05)\n10. **GOBP_CELLULAR_RESPONSE_TO_INTERLEUKIN_1** (NES: -2.23, q-value: 5.75e-05)\n\nThese pathways show a negative Normalized Enrichment Score (NES), indicating that the genes in these pathways are generally downregulated in the 'NS' group compared to the 'differentiated' group, with high statistical significance (low q-values).\n\nWould you like to explore other gene sets or analysis types for this comparison, or perhaps look at the genes involved in any of these pathways?</t>
  </si>
  <si>
    <t>Which GO biological processes are downregulated in NS vs differentiated?</t>
  </si>
  <si>
    <t>SELECT Term, Description, Adjusted_P_value, analysis_type, sample_subset, comparison_variable, comparison1, comparison2 FROM enrichment_results WHERE gene_set LIKE '%KEGG%' AND Adjusted_P_value IS NOT NULL ORDER BY Adjusted_P_value ASC LIMIT 1;</t>
  </si>
  <si>
    <t>The most significantly enriched KEGG pathway is the 'Hippo signaling pathway', with an adjusted p-value of 1.06e-05. This enrichment was observed in the 'all_samples' subset when comparing 'NS' to 'differentiated' samples, using the enrichr analysis type.</t>
  </si>
  <si>
    <t>SELECT\n    CASE\n        WHEN analysis_type = 'enrichr' THEN Term\n        ELSE Description\n    END AS pathway_name,\n    analysis_type,\n    gene_set,\n    COUNT(DISTINCT sample_subset || '_' || comparison_variable || '_' ||\n        (CASE WHEN comparison1 &lt; comparison2 THEN comparison1 || '_' || comparison2 ELSE comparison2 || '_' || comparison1 END)\n    ) AS distinct_comparison_count\nFROM\n    enrichment_results\nWHERE\n    COALESCE(Adjusted_P_value, qvalue) &lt; 0.05\nGROUP BY\n    pathway_name, analysis_type, gene_set\nHAVING\n    distinct_comparison_count &gt; 1\nORDER BY\n    distinct_comparison_count DESC;</t>
  </si>
  <si>
    <t>Yes, there are many pathways that are significantly enriched across multiple comparisons, based on the data retrieved from the database. For example, the pathways 'BENPORATH_PRC2_TARGETS', 'GOCC_CELL_BODY', 'MIKKELSEN_MCV6_HCP_WITH_H3K27ME3', and 'MIKKELSEN_MEF_HCP_WITH_H3K27ME3' are each enriched in 9 distinct comparisons. Additionally, pathways such as 'BENPORATH_EED_TARGETS', 'BENPORATH_ES_WITH_H3K27ME3', 'BENPORATH_SUZ12_TARGETS', and several GO Biological Process and Cellular Component pathways related to synaptic function, along with the 'HALLMARK_INFLAMMATORY_RESPONSE' pathway, are enriched in 8 distinct comparisons.\n\nThis suggests that these biological processes and gene sets are consistently affected across various experimental conditions or sample groupings within the study.\n\nWould you like to investigate a specific pathway or comparison in more detail?</t>
  </si>
  <si>
    <t>Accuracy score=</t>
  </si>
  <si>
    <t>Create a volcano plot for NS vs differentiated</t>
  </si>
  <si>
    <t>I have created a volcano plot visualizing the differential expression results for the 'NS vs differentiated' comparison within the 'all_samples' subset. This plot shows the log2 fold change against the adjusted p-value for each gene, allowing you to quickly identify genes that are significantly up or downregulated. Would you like to analyze specific genes from this plot or explore other comparisons?</t>
  </si>
  <si>
    <t>SELECT gene_name, s1, s2, s3, s4, s5, s6, s7, s8, s9, s10, s11, s12, s13, s14, s15, s16, s17, s18, s19, s20, s21, s22, s23, s24, s25, s26, s27 FROM normalized_counts_matrix WHERE gene_name IN (SELECT gene_name FROM deseq2_results WHERE padj &lt; 0.05 ORDER BY padj ASC, ABS(log2FoldChange) DESC LIMIT 50);
heatmap|title=Heatmap of Top Differentially Expressed Genes</t>
  </si>
  <si>
    <t>I have generated a heatmap displaying the expression levels of the top 50 differentially expressed genes. This visualization helps to show patterns of gene expression across different samples for these highly significant genes. \n\nWould you like to focus on specific clusters of genes or samples within this heatmap, or perhaps explore the expression of these genes in a different context?</t>
  </si>
  <si>
    <t>answer OR "which condition?"</t>
  </si>
  <si>
    <t>From database schema</t>
  </si>
  <si>
    <t>answer OR ask for clarification eg. How do you want to look at outliers</t>
  </si>
  <si>
    <t>generate heatmap</t>
  </si>
  <si>
    <t>I found several pathways related to cell cycle regulation within the 'Reactome_2022' gene set. Some of the top pathways include 'Aberrant Regulation Of Mitotic Cell Cycle Due To RB1 Defects', 'Diseases Of Mitotic Cell Cycle', and 'Cell Cycle, Mitotic'. These pathways show varying degrees of overlap with your gene list and different adjusted p-values, indicating their statistical significance. For example, 'Cell Cycle, Mitotic' has an overlap of 45 genes out of 523 in the pathway, with an adjusted p-value of 0.318. Would you like to explore a specific pathway in more detail or visualize these results?</t>
  </si>
  <si>
    <t>I can help you find pathways related to cell cycle regulation. To do this, I need to know which type of enrichment analysis you are interested in (e.g., enrichr, GSEA, ORA) and which gene set you'd like to use (e.g., GO_Biological_Process, KEGG_2021_Human). Could you please specify these details?
enrichr
Great! You've chosen enrichr. Now, could you please specify which gene set you'd like to use? For example, you could choose 'GO_Biological_Process', 'KEGG_2021_Human', or 'Reactome_2022'. This will help me narrow down the pathways related to cell cycle regulation.
Reactome_2022
I found several pathways related to cell cycle regulation within the 'Reactome_2022' gene set. Some of the top pathways include 'Aberrant Regulation Of Mitotic Cell Cycle Due To RB1 Defects', 'Diseases Of Mitotic Cell Cycle', and 'Cell Cycle, Mitotic'. These pathways show varying degrees of overlap with your gene list and different adjusted p-values, indicating their statistical significance. For example, 'Cell Cycle, Mitotic' has an overlap of 45 genes out of 523 in the pathway, with an adjusted p-value of 0.318. Would you like to explore a specific pathway in more detail or visualize these results?
SELECT DISTINCT gene_set FROM enrichment_results WHERE analysis_type = 'enrichr' AND Term LIKE '%cell cycle%';
Based on the available data, the enrichr gene sets that contain pathways related to cell cycle regulation are 'GO_Biological_Process_2023', 'Reactome_2022', 'KEGG_2021_Human', and 'BioCarta_2016'.\n\nWhich of these would you like to use for your analysis?
SELECT Term, Overlap, Adjusted_P_value, Combined_Score, Genes FROM enrichment_results WHERE analysis_type = 'enrichr' AND gene_set = 'Reactome_2022' AND Term LIKE '%cell cycle%' ORDER BY Adjusted_P_value ASC</t>
  </si>
  <si>
    <t>ai: There are multiple sample subsets available for the E-GSC vs L-GSC comparison: 'flattened', 'round', and 'all_samples'. To accurately determine the number of differentially expressed genes, please specify which of these subsets you are interested in.
user: all_samples
action: SELECT COUNT(gene_name) FROM deseq2_results WHERE sample_subset = 'all_samples' AND ((comparison1 = 'E-GSC' AND comparison2 = 'L-GSC') OR (comparison1 = 'L-GSC' AND comparison2 = 'E-GSC')) AND padj &lt; 0.05;</t>
  </si>
  <si>
    <t>There are 69 differentially expressed genes in the 'all_samples' subset for the E-GSC versus L-GSC comparison, based on an adjusted p-value threshold of less than 0.05. This indicates a significant difference in their expression levels between these two groups.\n\nWould you like to visualize these genes, or perhaps investigate which biological pathways are enriched among them?</t>
  </si>
  <si>
    <t>To determine the number of downregulated genes with an adjusted p-value less than 0.05, I need to know which specific comparison you are interested in. \n\nBased on the available differential expression analysis data for the 'all_samples' subset, there are two comparisons:\n1.  Comparing 'NS' samples to 'differentiated' samples (under the 'Type' variable).\n2.  Comparing 'E-GSC' samples to 'L-GSC' samples (under the 'Type' variable).\n\nPlease specify which of these comparisons you would like to analyze.</t>
  </si>
  <si>
    <t xml:space="preserve">SELECT DISTINCT sample_subset, comparison_variable, comparison1, comparison2 FROM dea_subsets_comparisons WHERE sample_subset = 'all_samples';
</t>
  </si>
  <si>
    <t>Based on the comprehensive assessment using Principal Component Analysis (PCA), Multi-Dimensional Scaling (MDS), and correlation analysis, one sample, s26 from patient GBM05C, appears to be a potential outlier.
Here's what the data indicates:
Correlation Analysis: When examining the correlation values, sample s26 shows lower Pearson correlation coefficients (ranging from approximately 0.86 to 0.89) with other samples from the same patient (s27, s24, s25). In contrast, samples s27, s24, and s25 exhibit very high correlations among themselves (all above 0.96), suggesting s26 is less similar to its patient group.
PCA Scores: In the principal component analysis data, sample s26 has a notably higher PC1 value compared to other samples from patient GBM05C, indicating it separates along this principal component.
MDS Scores: Similarly, in the multi-dimensional scaling data, s26 also shows some separation from the other GBM05C samples.
These observations consistently suggest that sample s26 behaves differently from the other samples within the GBM05C patient group.
Would you like to visualize these relationships with plots, or perhaps explore the metadata for s26 and other GBM05C samples to look for potential explanations?</t>
  </si>
  <si>
    <t>ai: Outliers can be assessed through several methods, including Principal Component Analysis (PCA), Multi-Dimensional Scaling (MDS), and correlation analysis. Would you like me to check for outliers using one of these specific methods, or would you prefer a comprehensive assessment using all three?
user: comprehensive assessment using all three
agent:
SELECT * FROM pca_scores;
SELECT * FROM mds_scores;
SELECT * FROM correlation_matrix;</t>
  </si>
  <si>
    <t>To determine the correlation between biological replicates, I first need to understand how you define 'biological replicates' in your study. The available metadata for your samples includes 'Type', 'Patient', 'Flattening', and 'Batch'. Please specify which of these variables, or a combination of them, you would like to use to group your samples as biological replicates for the correlation analysis.
user: patient
agent: SELECT DISTINCT Patient, Sample FROM study_metadata;
SELECT Pearson_cor, s20, s21, s22, s23 FROM correlation_matrix WHERE Pearson_cor IN ('s20', 's21', 's22', 's23');</t>
  </si>
  <si>
    <t>The correlation values for the biological replicates from Patient 'GBM03C' (samples s20, s21, s22, s23) are all very high, ranging from approximately 0.96 to 1.0. This indicates a strong positive correlation and good reproducibility among these samples.\n\nHere are the specific correlation values:\n\n| Sample | s20 | s21 | s22 | s23 |\n|---|---|---|---|---|\n| s20 | 1.0 | 0.976 | 0.965 | 0.980 |\n| s21 | 0.976 | 1.0 | 0.962 | 0.972 |\n| s22 | 0.965 | 0.962 | 1.0 | 0.966 |\n| s23 | 0.980 | 0.972 | 0.966 | 1.0 |\n\nWould you like to see a heatmap visualization of these correlations, or perhaps analyze replicates from another patient?</t>
  </si>
  <si>
    <t>avg library size from library size table</t>
  </si>
  <si>
    <t>max library size from library size table</t>
  </si>
  <si>
    <t>schema or select cols from study_meta table</t>
  </si>
  <si>
    <t>first ask for what is meant by group, then query study_metadata for samples in that group, then query correlation matrix individually selecting for samples in group</t>
  </si>
  <si>
    <t>query pca explained variance table</t>
  </si>
  <si>
    <t>visualization</t>
  </si>
  <si>
    <t>clsutering by batch in mds plot</t>
  </si>
  <si>
    <t>first ask for clarification on sample subset querying dea_metadata table, then count where padj&lt;0.05 in that condition/subset</t>
  </si>
  <si>
    <t>expected behaviour</t>
  </si>
  <si>
    <t>count distinct samples from table study_metadata</t>
  </si>
  <si>
    <r>
      <t xml:space="preserve">SELECT gene_name, log2FoldChange, padj FROM deseq2_results WHERE sample_subset = 'all_samples' AND comparison_variable = 'Type' AND ((comparison1 = 'NS' AND comparison2 = 'differentiated') OR (comparison1 = 'differentiated' AND comparison2 = 'NS'));
volcano|x_column=log2FoldChange|y_column=padj|title=Volcano Plot for NS vs Differentiated (all_samples)
</t>
    </r>
    <r>
      <rPr>
        <b/>
        <i/>
        <sz val="12"/>
        <color rgb="FFFF0000"/>
        <rFont val="Aptos"/>
      </rPr>
      <t>da rivedere un attimo layout</t>
    </r>
  </si>
  <si>
    <t>outcome</t>
  </si>
  <si>
    <t xml:space="preserve">correct answer but cannot parse final answer </t>
  </si>
  <si>
    <t>How many unique sequencing runs are present?</t>
  </si>
  <si>
    <t>type</t>
  </si>
  <si>
    <t>positive</t>
  </si>
  <si>
    <t>negative</t>
  </si>
  <si>
    <t>do not have that information</t>
  </si>
  <si>
    <t>SELECT COUNT(DISTINCT sequencing_run) FROM study_metadata;</t>
  </si>
  <si>
    <t>I apologize, but it seems there was an issue with the previous query, as the column 'sequencing_run' was not found in the database. Therefore, I am unable to determine the number of unique sequencing runs. Would you like me to try a different approach or explore other metadata to answer your question?</t>
  </si>
  <si>
    <t>Which samples belong to the control group?</t>
  </si>
  <si>
    <t>there is no control group</t>
  </si>
  <si>
    <t>OUTPUT PARSING FAILURE</t>
  </si>
  <si>
    <t>Which sample has the lowest alignment rate?</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</si>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</sst>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sz val="12"/>
      <color theme="1"/>
      <name val="Aptos"/>
    </font>
    <font>
      <b/>
      <i/>
      <sz val="12"/>
      <color rgb="FF2FB41D"/>
      <name val="Aptos"/>
    </font>
    <font>
      <b/>
      <sz val="12"/>
      <color theme="0"/>
      <name val="Aptos"/>
    </font>
    <font>
      <sz val="12"/>
      <color rgb="FF000000"/>
      <name val="Aptos"/>
    </font>
    <font>
      <b/>
      <i/>
      <sz val="12"/>
      <color rgb="FFFF0000"/>
      <name val="Aptos"/>
    </font>
  </fonts>
  <fills count="6">
    <fill>
      <patternFill patternType="none"/>
    </fill>
    <fill>
      <patternFill patternType="gray125"/>
    </fill>
    <fill>
      <patternFill patternType="solid">
        <fgColor theme="4"/>
        <bgColor indexed="64"/>
      </patternFill>
    </fill>
    <fill>
      <patternFill patternType="solid">
        <fgColor rgb="FFFFFF00"/>
        <bgColor indexed="64"/>
      </patternFill>
    </fill>
    <fill>
      <patternFill patternType="solid">
        <fgColor rgb="FF92D050"/>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16">
    <xf numFmtId="0" fontId="0" fillId="0" borderId="0" xfId="0"/>
    <xf numFmtId="0" fontId="1" fillId="0" borderId="0" xfId="0" applyFont="1"/>
    <xf numFmtId="0" fontId="1" fillId="0" borderId="0" xfId="0" applyFont="1" applyAlignment="1">
      <alignment wrapText="1"/>
    </xf>
    <xf numFmtId="0" fontId="1" fillId="0" borderId="0" xfId="0" applyFont="1" applyAlignment="1">
      <alignment horizontal="left" wrapText="1"/>
    </xf>
    <xf numFmtId="0" fontId="2" fillId="0" borderId="0" xfId="0" applyFont="1" applyAlignment="1">
      <alignment wrapText="1"/>
    </xf>
    <xf numFmtId="0" fontId="3" fillId="2" borderId="0" xfId="0" applyFont="1" applyFill="1"/>
    <xf numFmtId="0" fontId="1" fillId="0" borderId="0" xfId="0" applyFont="1" applyFill="1"/>
    <xf numFmtId="0" fontId="1" fillId="0" borderId="0" xfId="0" applyFont="1" applyFill="1" applyAlignment="1">
      <alignment wrapText="1"/>
    </xf>
    <xf numFmtId="0" fontId="4" fillId="0" borderId="0" xfId="0" applyFont="1" applyAlignment="1">
      <alignment wrapText="1"/>
    </xf>
    <xf numFmtId="0" fontId="2" fillId="0" borderId="0" xfId="0" applyFont="1" applyFill="1"/>
    <xf numFmtId="0" fontId="2" fillId="0" borderId="0" xfId="0" applyFont="1" applyFill="1" applyAlignment="1">
      <alignment wrapText="1"/>
    </xf>
    <xf numFmtId="0" fontId="1" fillId="0" borderId="0" xfId="0" applyFont="1" applyAlignment="1">
      <alignment horizontal="center" vertical="center"/>
    </xf>
    <xf numFmtId="0" fontId="1" fillId="4" borderId="0" xfId="0" applyFont="1" applyFill="1" applyAlignment="1">
      <alignment horizontal="center" vertical="center"/>
    </xf>
    <xf numFmtId="0" fontId="1" fillId="3" borderId="0" xfId="0" applyFont="1" applyFill="1" applyAlignment="1">
      <alignment horizontal="center" vertical="center"/>
    </xf>
    <xf numFmtId="0" fontId="1" fillId="5" borderId="0" xfId="0" applyFont="1" applyFill="1" applyAlignment="1">
      <alignment horizontal="center" vertical="center"/>
    </xf>
    <xf numFmtId="0" fontId="1" fillId="0" borderId="0" xfId="0" applyFont="1" applyAlignment="1">
      <alignment horizontal="left"/>
    </xf>
  </cellXfs>
  <cellStyles count="1">
    <cellStyle name="Normal" xfId="0" builtinId="0"/>
  </cellStyles>
  <dxfs count="10">
    <dxf>
      <font>
        <strike val="0"/>
        <outline val="0"/>
        <shadow val="0"/>
        <u val="none"/>
        <vertAlign val="baseline"/>
        <sz val="12"/>
        <name val="Aptos"/>
        <scheme val="none"/>
      </font>
    </dxf>
    <dxf>
      <font>
        <b val="0"/>
        <i val="0"/>
        <strike val="0"/>
        <condense val="0"/>
        <extend val="0"/>
        <outline val="0"/>
        <shadow val="0"/>
        <u val="none"/>
        <vertAlign val="baseline"/>
        <sz val="12"/>
        <color theme="1"/>
        <name val="Aptos"/>
        <scheme val="none"/>
      </font>
    </dxf>
    <dxf>
      <font>
        <strike val="0"/>
        <outline val="0"/>
        <shadow val="0"/>
        <u val="none"/>
        <vertAlign val="baseline"/>
        <sz val="12"/>
        <name val="Aptos"/>
        <scheme val="none"/>
      </font>
      <alignment horizontal="center" vertical="center" textRotation="0" wrapText="0" indent="0" justifyLastLine="0" shrinkToFit="0" readingOrder="0"/>
    </dxf>
    <dxf>
      <font>
        <strike val="0"/>
        <outline val="0"/>
        <shadow val="0"/>
        <u val="none"/>
        <vertAlign val="baseline"/>
        <sz val="12"/>
        <name val="Aptos"/>
        <scheme val="none"/>
      </font>
    </dxf>
    <dxf>
      <font>
        <strike val="0"/>
        <outline val="0"/>
        <shadow val="0"/>
        <u val="none"/>
        <vertAlign val="baseline"/>
        <sz val="12"/>
        <name val="Aptos"/>
        <scheme val="none"/>
      </font>
      <alignment horizontal="general" vertical="bottom" textRotation="0" wrapText="1" indent="0" justifyLastLine="0" shrinkToFit="0" readingOrder="0"/>
    </dxf>
    <dxf>
      <font>
        <strike val="0"/>
        <outline val="0"/>
        <shadow val="0"/>
        <u val="none"/>
        <vertAlign val="baseline"/>
        <sz val="12"/>
        <name val="Aptos"/>
        <scheme val="none"/>
      </font>
    </dxf>
    <dxf>
      <font>
        <strike val="0"/>
        <outline val="0"/>
        <shadow val="0"/>
        <u val="none"/>
        <vertAlign val="baseline"/>
        <sz val="12"/>
        <name val="Aptos"/>
        <scheme val="none"/>
      </font>
    </dxf>
    <dxf>
      <font>
        <strike val="0"/>
        <outline val="0"/>
        <shadow val="0"/>
        <u val="none"/>
        <vertAlign val="baseline"/>
        <sz val="12"/>
        <name val="Aptos"/>
        <scheme val="none"/>
      </font>
    </dxf>
    <dxf>
      <font>
        <strike val="0"/>
        <outline val="0"/>
        <shadow val="0"/>
        <u val="none"/>
        <vertAlign val="baseline"/>
        <sz val="12"/>
        <name val="Aptos"/>
        <scheme val="none"/>
      </font>
      <alignment horizontal="general" vertical="bottom" textRotation="0" wrapText="1" indent="0" justifyLastLine="0" shrinkToFit="0" readingOrder="0"/>
    </dxf>
    <dxf>
      <font>
        <strike val="0"/>
        <outline val="0"/>
        <shadow val="0"/>
        <u val="none"/>
        <vertAlign val="baseline"/>
        <sz val="12"/>
        <name val="Aptos"/>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F67DB1E-4F36-744E-896C-366DD26993AF}" name="Table1" displayName="Table1" ref="A1:H34" totalsRowShown="0" headerRowDxfId="6" dataDxfId="5">
  <autoFilter ref="A1:H34" xr:uid="{AF67DB1E-4F36-744E-896C-366DD26993AF}"/>
  <tableColumns count="8">
    <tableColumn id="8" xr3:uid="{7F6A6AC4-0104-B448-8DCC-07F2CDE8018C}" name="#" dataDxfId="0"/>
    <tableColumn id="1" xr3:uid="{2978D525-7113-3E43-8A1A-8F3B3BB5CAE0}" name="topic" dataDxfId="9"/>
    <tableColumn id="7" xr3:uid="{F2EF9E6D-4A7B-D248-B7C9-A7BE935A818C}" name="type" dataDxfId="1"/>
    <tableColumn id="2" xr3:uid="{894A3B81-60FA-C048-8EBC-F159E76D89DB}" name="query" dataDxfId="8"/>
    <tableColumn id="3" xr3:uid="{8029C575-7BCF-2141-975F-19C0A0B47E73}" name="expected behaviour" dataDxfId="7"/>
    <tableColumn id="4" xr3:uid="{BB5A585E-8E04-224D-9D46-A10AA33174BB}" name="actual answer" dataDxfId="4"/>
    <tableColumn id="5" xr3:uid="{12FC6E6F-BC44-8F4E-9056-DFA60448A2B2}" name="outcome" dataDxfId="2"/>
    <tableColumn id="6" xr3:uid="{8A2FBFC8-00AE-A44A-9B8E-2C05851B6167}" name="notes" dataDxfId="3"/>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2EC94-C08D-D74C-A5F3-849D2C0D8E4F}">
  <dimension ref="A1:K34"/>
  <sheetViews>
    <sheetView tabSelected="1" topLeftCell="A16" zoomScale="87" zoomScaleNormal="132" workbookViewId="0">
      <selection activeCell="F10" sqref="F10"/>
    </sheetView>
  </sheetViews>
  <sheetFormatPr baseColWidth="10" defaultRowHeight="16" x14ac:dyDescent="0.2"/>
  <cols>
    <col min="1" max="1" width="5.1640625" style="1" bestFit="1" customWidth="1"/>
    <col min="2" max="2" width="20.6640625" style="1" bestFit="1" customWidth="1"/>
    <col min="3" max="3" width="8.33203125" style="2" bestFit="1" customWidth="1"/>
    <col min="4" max="4" width="43.5" style="1" bestFit="1" customWidth="1"/>
    <col min="5" max="5" width="59.33203125" style="1" customWidth="1"/>
    <col min="6" max="6" width="120.1640625" style="11" customWidth="1"/>
    <col min="7" max="7" width="12.1640625" style="1" bestFit="1" customWidth="1"/>
    <col min="8" max="8" width="89.6640625" style="1" bestFit="1" customWidth="1"/>
    <col min="9" max="10" width="16.5" style="1" bestFit="1" customWidth="1"/>
    <col min="11" max="11" width="6.5" style="1" bestFit="1" customWidth="1"/>
    <col min="12" max="16384" width="10.83203125" style="1"/>
  </cols>
  <sheetData>
    <row r="1" spans="1:11" ht="17" x14ac:dyDescent="0.2">
      <c r="A1" s="1" t="s">
        <v>122</v>
      </c>
      <c r="B1" s="1" t="s">
        <v>6</v>
      </c>
      <c r="C1" s="1" t="s">
        <v>112</v>
      </c>
      <c r="D1" s="2" t="s">
        <v>0</v>
      </c>
      <c r="E1" s="1" t="s">
        <v>106</v>
      </c>
      <c r="F1" s="1" t="s">
        <v>1</v>
      </c>
      <c r="G1" s="15" t="s">
        <v>109</v>
      </c>
      <c r="H1" s="1" t="s">
        <v>2</v>
      </c>
    </row>
    <row r="2" spans="1:11" ht="17" x14ac:dyDescent="0.2">
      <c r="A2" s="1">
        <v>1</v>
      </c>
      <c r="B2" s="1" t="s">
        <v>7</v>
      </c>
      <c r="C2" s="1" t="s">
        <v>113</v>
      </c>
      <c r="D2" s="2" t="s">
        <v>3</v>
      </c>
      <c r="E2" s="3" t="s">
        <v>107</v>
      </c>
      <c r="F2" s="4" t="s">
        <v>33</v>
      </c>
      <c r="G2" s="12" t="s">
        <v>32</v>
      </c>
      <c r="H2" s="4" t="s">
        <v>31</v>
      </c>
    </row>
    <row r="3" spans="1:11" ht="34" x14ac:dyDescent="0.2">
      <c r="A3" s="1">
        <f>A2+1</f>
        <v>2</v>
      </c>
      <c r="B3" s="1" t="s">
        <v>7</v>
      </c>
      <c r="C3" s="1" t="s">
        <v>113</v>
      </c>
      <c r="D3" s="2" t="s">
        <v>4</v>
      </c>
      <c r="E3" s="2" t="s">
        <v>84</v>
      </c>
      <c r="F3" s="4" t="s">
        <v>34</v>
      </c>
      <c r="G3" s="12" t="s">
        <v>32</v>
      </c>
      <c r="H3" s="4" t="s">
        <v>35</v>
      </c>
      <c r="J3" s="5" t="s">
        <v>79</v>
      </c>
      <c r="K3" s="5" t="str">
        <f>TEXT(COUNTIF(A2:G103,"YES")/COUNTA(G2:G103),"0.00%")</f>
        <v>90.32%</v>
      </c>
    </row>
    <row r="4" spans="1:11" ht="34" x14ac:dyDescent="0.2">
      <c r="A4" s="1">
        <f>A3+1</f>
        <v>3</v>
      </c>
      <c r="B4" s="1" t="s">
        <v>7</v>
      </c>
      <c r="C4" s="1" t="s">
        <v>113</v>
      </c>
      <c r="D4" s="2" t="s">
        <v>5</v>
      </c>
      <c r="E4" s="2" t="s">
        <v>98</v>
      </c>
      <c r="F4" s="4" t="s">
        <v>36</v>
      </c>
      <c r="G4" s="12" t="s">
        <v>32</v>
      </c>
      <c r="H4" s="4" t="s">
        <v>37</v>
      </c>
    </row>
    <row r="5" spans="1:11" ht="34" x14ac:dyDescent="0.2">
      <c r="A5" s="1">
        <f t="shared" ref="A5:A34" si="0">A4+1</f>
        <v>4</v>
      </c>
      <c r="B5" s="1" t="s">
        <v>7</v>
      </c>
      <c r="C5" s="1" t="s">
        <v>113</v>
      </c>
      <c r="D5" s="2" t="s">
        <v>8</v>
      </c>
      <c r="E5" s="2" t="s">
        <v>99</v>
      </c>
      <c r="F5" s="4" t="s">
        <v>39</v>
      </c>
      <c r="G5" s="12" t="s">
        <v>32</v>
      </c>
      <c r="H5" s="4" t="s">
        <v>38</v>
      </c>
    </row>
    <row r="6" spans="1:11" ht="34" x14ac:dyDescent="0.2">
      <c r="A6" s="1">
        <f t="shared" si="0"/>
        <v>5</v>
      </c>
      <c r="B6" s="1" t="s">
        <v>7</v>
      </c>
      <c r="C6" s="1" t="s">
        <v>113</v>
      </c>
      <c r="D6" s="2" t="s">
        <v>9</v>
      </c>
      <c r="E6" s="2" t="s">
        <v>84</v>
      </c>
      <c r="F6" s="4" t="s">
        <v>41</v>
      </c>
      <c r="G6" s="12" t="s">
        <v>32</v>
      </c>
      <c r="H6" s="4" t="s">
        <v>40</v>
      </c>
    </row>
    <row r="7" spans="1:11" ht="34" x14ac:dyDescent="0.2">
      <c r="A7" s="1">
        <f t="shared" si="0"/>
        <v>6</v>
      </c>
      <c r="B7" s="1" t="s">
        <v>7</v>
      </c>
      <c r="C7" s="1" t="s">
        <v>113</v>
      </c>
      <c r="D7" s="2" t="s">
        <v>10</v>
      </c>
      <c r="E7" s="2" t="s">
        <v>100</v>
      </c>
      <c r="F7" s="4" t="s">
        <v>42</v>
      </c>
      <c r="G7" s="12" t="s">
        <v>32</v>
      </c>
      <c r="H7" s="2" t="s">
        <v>85</v>
      </c>
    </row>
    <row r="8" spans="1:11" ht="34" x14ac:dyDescent="0.2">
      <c r="A8" s="1">
        <f t="shared" si="0"/>
        <v>7</v>
      </c>
      <c r="B8" s="1" t="s">
        <v>7</v>
      </c>
      <c r="C8" s="1" t="s">
        <v>114</v>
      </c>
      <c r="D8" s="1" t="s">
        <v>111</v>
      </c>
      <c r="E8" s="2" t="s">
        <v>115</v>
      </c>
      <c r="F8" s="4" t="s">
        <v>117</v>
      </c>
      <c r="G8" s="12" t="s">
        <v>32</v>
      </c>
      <c r="H8" s="4" t="s">
        <v>116</v>
      </c>
    </row>
    <row r="9" spans="1:11" ht="17" x14ac:dyDescent="0.2">
      <c r="A9" s="1">
        <f t="shared" si="0"/>
        <v>8</v>
      </c>
      <c r="B9" s="1" t="s">
        <v>7</v>
      </c>
      <c r="C9" s="1" t="s">
        <v>114</v>
      </c>
      <c r="D9" s="1" t="s">
        <v>118</v>
      </c>
      <c r="E9" s="2" t="s">
        <v>119</v>
      </c>
      <c r="F9" s="4" t="s">
        <v>120</v>
      </c>
      <c r="G9" s="14" t="s">
        <v>43</v>
      </c>
      <c r="H9" s="4"/>
    </row>
    <row r="10" spans="1:11" s="6" customFormat="1" ht="187" x14ac:dyDescent="0.2">
      <c r="A10" s="1">
        <f t="shared" si="0"/>
        <v>9</v>
      </c>
      <c r="B10" s="6" t="s">
        <v>11</v>
      </c>
      <c r="C10" s="1" t="s">
        <v>113</v>
      </c>
      <c r="D10" s="7" t="s">
        <v>12</v>
      </c>
      <c r="E10" s="7" t="s">
        <v>86</v>
      </c>
      <c r="F10" s="8" t="s">
        <v>94</v>
      </c>
      <c r="G10" s="12" t="s">
        <v>32</v>
      </c>
      <c r="H10" s="7" t="s">
        <v>95</v>
      </c>
    </row>
    <row r="11" spans="1:11" ht="153" x14ac:dyDescent="0.2">
      <c r="A11" s="1">
        <f t="shared" si="0"/>
        <v>10</v>
      </c>
      <c r="B11" s="1" t="s">
        <v>11</v>
      </c>
      <c r="C11" s="1" t="s">
        <v>113</v>
      </c>
      <c r="D11" s="2" t="s">
        <v>13</v>
      </c>
      <c r="E11" s="1" t="s">
        <v>87</v>
      </c>
      <c r="F11" s="4" t="s">
        <v>97</v>
      </c>
      <c r="G11" s="13" t="s">
        <v>32</v>
      </c>
      <c r="H11" s="4" t="s">
        <v>96</v>
      </c>
    </row>
    <row r="12" spans="1:11" s="6" customFormat="1" ht="34" x14ac:dyDescent="0.2">
      <c r="A12" s="1">
        <f t="shared" si="0"/>
        <v>11</v>
      </c>
      <c r="B12" s="6" t="s">
        <v>11</v>
      </c>
      <c r="C12" s="1" t="s">
        <v>113</v>
      </c>
      <c r="D12" s="7" t="s">
        <v>14</v>
      </c>
      <c r="E12" s="7" t="s">
        <v>101</v>
      </c>
      <c r="F12" s="7" t="s">
        <v>110</v>
      </c>
      <c r="G12" s="14" t="s">
        <v>43</v>
      </c>
      <c r="H12" s="7"/>
    </row>
    <row r="13" spans="1:11" ht="34" x14ac:dyDescent="0.2">
      <c r="A13" s="1">
        <f t="shared" si="0"/>
        <v>12</v>
      </c>
      <c r="B13" s="1" t="s">
        <v>11</v>
      </c>
      <c r="C13" s="1" t="s">
        <v>113</v>
      </c>
      <c r="D13" s="2" t="s">
        <v>15</v>
      </c>
      <c r="E13" s="1" t="s">
        <v>102</v>
      </c>
      <c r="F13" s="4" t="s">
        <v>45</v>
      </c>
      <c r="G13" s="12" t="s">
        <v>32</v>
      </c>
      <c r="H13" s="4" t="s">
        <v>44</v>
      </c>
    </row>
    <row r="14" spans="1:11" ht="34" x14ac:dyDescent="0.2">
      <c r="A14" s="1">
        <f t="shared" si="0"/>
        <v>13</v>
      </c>
      <c r="B14" s="1" t="s">
        <v>11</v>
      </c>
      <c r="C14" s="1" t="s">
        <v>113</v>
      </c>
      <c r="D14" s="2" t="s">
        <v>46</v>
      </c>
      <c r="E14" s="1" t="s">
        <v>103</v>
      </c>
      <c r="F14" s="4" t="s">
        <v>47</v>
      </c>
      <c r="G14" s="12" t="s">
        <v>32</v>
      </c>
      <c r="H14" s="4" t="s">
        <v>48</v>
      </c>
    </row>
    <row r="15" spans="1:11" ht="51" x14ac:dyDescent="0.2">
      <c r="A15" s="1">
        <f t="shared" si="0"/>
        <v>14</v>
      </c>
      <c r="B15" s="1" t="s">
        <v>11</v>
      </c>
      <c r="C15" s="1" t="s">
        <v>113</v>
      </c>
      <c r="D15" s="2" t="s">
        <v>16</v>
      </c>
      <c r="E15" s="1" t="s">
        <v>104</v>
      </c>
      <c r="F15" s="4" t="s">
        <v>50</v>
      </c>
      <c r="G15" s="12"/>
      <c r="H15" s="4" t="s">
        <v>49</v>
      </c>
    </row>
    <row r="16" spans="1:11" ht="17" x14ac:dyDescent="0.2">
      <c r="A16" s="1">
        <f t="shared" si="0"/>
        <v>15</v>
      </c>
      <c r="B16" s="1" t="s">
        <v>11</v>
      </c>
      <c r="C16" s="1" t="s">
        <v>114</v>
      </c>
      <c r="D16" s="2" t="s">
        <v>121</v>
      </c>
      <c r="F16" s="4"/>
      <c r="G16" s="12"/>
      <c r="H16" s="4"/>
    </row>
    <row r="17" spans="1:8" s="6" customFormat="1" ht="119" x14ac:dyDescent="0.2">
      <c r="A17" s="1">
        <f t="shared" si="0"/>
        <v>16</v>
      </c>
      <c r="B17" s="6" t="s">
        <v>22</v>
      </c>
      <c r="C17" s="1" t="s">
        <v>113</v>
      </c>
      <c r="D17" s="7" t="s">
        <v>51</v>
      </c>
      <c r="E17" s="7" t="s">
        <v>105</v>
      </c>
      <c r="F17" s="9" t="s">
        <v>91</v>
      </c>
      <c r="G17" s="12" t="s">
        <v>32</v>
      </c>
      <c r="H17" s="10" t="s">
        <v>90</v>
      </c>
    </row>
    <row r="18" spans="1:8" ht="51" x14ac:dyDescent="0.2">
      <c r="A18" s="1">
        <f t="shared" si="0"/>
        <v>17</v>
      </c>
      <c r="B18" s="1" t="s">
        <v>22</v>
      </c>
      <c r="C18" s="1" t="s">
        <v>113</v>
      </c>
      <c r="D18" s="2" t="s">
        <v>17</v>
      </c>
      <c r="F18" s="4" t="s">
        <v>53</v>
      </c>
      <c r="G18" s="12" t="s">
        <v>32</v>
      </c>
      <c r="H18" s="4" t="s">
        <v>52</v>
      </c>
    </row>
    <row r="19" spans="1:8" ht="51" x14ac:dyDescent="0.2">
      <c r="A19" s="1">
        <f t="shared" si="0"/>
        <v>18</v>
      </c>
      <c r="B19" s="1" t="s">
        <v>22</v>
      </c>
      <c r="C19" s="1" t="s">
        <v>113</v>
      </c>
      <c r="D19" s="2" t="s">
        <v>54</v>
      </c>
      <c r="F19" s="4" t="s">
        <v>56</v>
      </c>
      <c r="G19" s="12" t="s">
        <v>32</v>
      </c>
      <c r="H19" s="4" t="s">
        <v>55</v>
      </c>
    </row>
    <row r="20" spans="1:8" s="6" customFormat="1" ht="51" x14ac:dyDescent="0.2">
      <c r="A20" s="1">
        <f t="shared" si="0"/>
        <v>19</v>
      </c>
      <c r="B20" s="6" t="s">
        <v>22</v>
      </c>
      <c r="C20" s="1" t="s">
        <v>113</v>
      </c>
      <c r="D20" s="7" t="s">
        <v>57</v>
      </c>
      <c r="F20" s="10" t="s">
        <v>92</v>
      </c>
      <c r="G20" s="12" t="s">
        <v>32</v>
      </c>
      <c r="H20" s="10" t="s">
        <v>93</v>
      </c>
    </row>
    <row r="21" spans="1:8" ht="34" x14ac:dyDescent="0.2">
      <c r="A21" s="1">
        <f t="shared" si="0"/>
        <v>20</v>
      </c>
      <c r="B21" s="1" t="s">
        <v>22</v>
      </c>
      <c r="C21" s="1" t="s">
        <v>113</v>
      </c>
      <c r="D21" s="2" t="s">
        <v>18</v>
      </c>
      <c r="F21" s="4" t="s">
        <v>59</v>
      </c>
      <c r="G21" s="12" t="s">
        <v>32</v>
      </c>
      <c r="H21" s="4" t="s">
        <v>58</v>
      </c>
    </row>
    <row r="22" spans="1:8" ht="68" x14ac:dyDescent="0.2">
      <c r="A22" s="1">
        <f t="shared" si="0"/>
        <v>21</v>
      </c>
      <c r="B22" s="1" t="s">
        <v>22</v>
      </c>
      <c r="C22" s="1" t="s">
        <v>113</v>
      </c>
      <c r="D22" s="2" t="s">
        <v>19</v>
      </c>
      <c r="F22" s="4" t="s">
        <v>61</v>
      </c>
      <c r="G22" s="12" t="s">
        <v>32</v>
      </c>
      <c r="H22" s="4" t="s">
        <v>60</v>
      </c>
    </row>
    <row r="23" spans="1:8" ht="34" x14ac:dyDescent="0.2">
      <c r="A23" s="1">
        <f t="shared" si="0"/>
        <v>22</v>
      </c>
      <c r="B23" s="1" t="s">
        <v>22</v>
      </c>
      <c r="C23" s="1" t="s">
        <v>113</v>
      </c>
      <c r="D23" s="2" t="s">
        <v>20</v>
      </c>
      <c r="F23" s="4" t="s">
        <v>63</v>
      </c>
      <c r="G23" s="12" t="s">
        <v>32</v>
      </c>
      <c r="H23" s="4" t="s">
        <v>62</v>
      </c>
    </row>
    <row r="24" spans="1:8" s="6" customFormat="1" ht="51" x14ac:dyDescent="0.2">
      <c r="A24" s="1">
        <f t="shared" si="0"/>
        <v>23</v>
      </c>
      <c r="B24" s="6" t="s">
        <v>22</v>
      </c>
      <c r="C24" s="1" t="s">
        <v>113</v>
      </c>
      <c r="D24" s="7" t="s">
        <v>64</v>
      </c>
      <c r="F24" s="7"/>
      <c r="G24" s="14" t="s">
        <v>43</v>
      </c>
      <c r="H24" s="10"/>
    </row>
    <row r="25" spans="1:8" ht="34" x14ac:dyDescent="0.2">
      <c r="A25" s="1">
        <f t="shared" si="0"/>
        <v>24</v>
      </c>
      <c r="B25" s="1" t="s">
        <v>22</v>
      </c>
      <c r="C25" s="1" t="s">
        <v>113</v>
      </c>
      <c r="D25" s="2" t="s">
        <v>21</v>
      </c>
      <c r="F25" s="4" t="s">
        <v>66</v>
      </c>
      <c r="G25" s="12" t="s">
        <v>32</v>
      </c>
      <c r="H25" s="4" t="s">
        <v>65</v>
      </c>
    </row>
    <row r="26" spans="1:8" ht="119" x14ac:dyDescent="0.2">
      <c r="A26" s="1">
        <f t="shared" si="0"/>
        <v>25</v>
      </c>
      <c r="B26" s="1" t="s">
        <v>27</v>
      </c>
      <c r="C26" s="1" t="s">
        <v>113</v>
      </c>
      <c r="D26" s="2" t="s">
        <v>67</v>
      </c>
      <c r="F26" s="4" t="s">
        <v>68</v>
      </c>
      <c r="G26" s="12" t="s">
        <v>32</v>
      </c>
      <c r="H26" s="4" t="s">
        <v>69</v>
      </c>
    </row>
    <row r="27" spans="1:8" ht="85" x14ac:dyDescent="0.2">
      <c r="A27" s="1">
        <f t="shared" si="0"/>
        <v>26</v>
      </c>
      <c r="B27" s="1" t="s">
        <v>27</v>
      </c>
      <c r="C27" s="1" t="s">
        <v>113</v>
      </c>
      <c r="D27" s="2" t="s">
        <v>23</v>
      </c>
      <c r="F27" s="4" t="s">
        <v>71</v>
      </c>
      <c r="G27" s="12" t="s">
        <v>32</v>
      </c>
      <c r="H27" s="4" t="s">
        <v>70</v>
      </c>
    </row>
    <row r="28" spans="1:8" ht="102" x14ac:dyDescent="0.2">
      <c r="A28" s="1">
        <f t="shared" si="0"/>
        <v>27</v>
      </c>
      <c r="B28" s="1" t="s">
        <v>27</v>
      </c>
      <c r="C28" s="1" t="s">
        <v>113</v>
      </c>
      <c r="D28" s="2" t="s">
        <v>74</v>
      </c>
      <c r="F28" s="4" t="s">
        <v>73</v>
      </c>
      <c r="G28" s="12" t="s">
        <v>32</v>
      </c>
      <c r="H28" s="4" t="s">
        <v>72</v>
      </c>
    </row>
    <row r="29" spans="1:8" ht="68" x14ac:dyDescent="0.2">
      <c r="A29" s="1">
        <f t="shared" si="0"/>
        <v>28</v>
      </c>
      <c r="B29" s="1" t="s">
        <v>27</v>
      </c>
      <c r="C29" s="1" t="s">
        <v>113</v>
      </c>
      <c r="D29" s="2" t="s">
        <v>24</v>
      </c>
      <c r="F29" s="4" t="s">
        <v>76</v>
      </c>
      <c r="G29" s="12" t="s">
        <v>32</v>
      </c>
      <c r="H29" s="4" t="s">
        <v>75</v>
      </c>
    </row>
    <row r="30" spans="1:8" ht="136" x14ac:dyDescent="0.2">
      <c r="A30" s="1">
        <f t="shared" si="0"/>
        <v>29</v>
      </c>
      <c r="B30" s="1" t="s">
        <v>27</v>
      </c>
      <c r="C30" s="1" t="s">
        <v>113</v>
      </c>
      <c r="D30" s="2" t="s">
        <v>25</v>
      </c>
      <c r="F30" s="4" t="s">
        <v>78</v>
      </c>
      <c r="G30" s="12" t="s">
        <v>32</v>
      </c>
      <c r="H30" s="4" t="s">
        <v>77</v>
      </c>
    </row>
    <row r="31" spans="1:8" s="6" customFormat="1" ht="409.6" x14ac:dyDescent="0.2">
      <c r="A31" s="1">
        <f t="shared" si="0"/>
        <v>30</v>
      </c>
      <c r="B31" s="6" t="s">
        <v>27</v>
      </c>
      <c r="C31" s="1" t="s">
        <v>113</v>
      </c>
      <c r="D31" s="7" t="s">
        <v>26</v>
      </c>
      <c r="F31" s="10" t="s">
        <v>88</v>
      </c>
      <c r="G31" s="12" t="s">
        <v>32</v>
      </c>
      <c r="H31" s="4" t="s">
        <v>89</v>
      </c>
    </row>
    <row r="32" spans="1:8" ht="17" x14ac:dyDescent="0.2">
      <c r="A32" s="1">
        <f t="shared" si="0"/>
        <v>31</v>
      </c>
      <c r="B32" s="1" t="s">
        <v>28</v>
      </c>
      <c r="C32" s="1" t="s">
        <v>113</v>
      </c>
      <c r="D32" s="2" t="s">
        <v>29</v>
      </c>
      <c r="F32" s="2"/>
      <c r="G32" s="12" t="s">
        <v>32</v>
      </c>
    </row>
    <row r="33" spans="1:8" ht="136" x14ac:dyDescent="0.2">
      <c r="A33" s="1">
        <f t="shared" si="0"/>
        <v>32</v>
      </c>
      <c r="B33" s="1" t="s">
        <v>28</v>
      </c>
      <c r="C33" s="1" t="s">
        <v>113</v>
      </c>
      <c r="D33" s="2" t="s">
        <v>80</v>
      </c>
      <c r="F33" s="4" t="s">
        <v>81</v>
      </c>
      <c r="G33" s="13" t="s">
        <v>32</v>
      </c>
      <c r="H33" s="4" t="s">
        <v>108</v>
      </c>
    </row>
    <row r="34" spans="1:8" ht="102" x14ac:dyDescent="0.2">
      <c r="A34" s="1">
        <f t="shared" si="0"/>
        <v>33</v>
      </c>
      <c r="B34" s="1" t="s">
        <v>28</v>
      </c>
      <c r="C34" s="1" t="s">
        <v>113</v>
      </c>
      <c r="D34" s="2" t="s">
        <v>30</v>
      </c>
      <c r="F34" s="4" t="s">
        <v>83</v>
      </c>
      <c r="G34" s="12" t="s">
        <v>32</v>
      </c>
      <c r="H34" s="4" t="s">
        <v>82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Camilla Callierotti</dc:creator>
  <cp:lastModifiedBy>Camilla Callierotti</cp:lastModifiedBy>
  <dcterms:created xsi:type="dcterms:W3CDTF">2025-10-14T09:48:13Z</dcterms:created>
  <dcterms:modified xsi:type="dcterms:W3CDTF">2025-10-15T10:26:47Z</dcterms:modified>
</cp:coreProperties>
</file>